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" sheetId="1" state="visible" r:id="rId3"/>
    <sheet name="Аркуш1_Sensitivity" sheetId="2" state="visible" r:id="rId4"/>
    <sheet name="Налаштування" sheetId="3" state="visible" r:id="rId5"/>
    <sheet name="Закупівля" sheetId="4" state="visible" r:id="rId6"/>
    <sheet name="Цілочисельність" sheetId="5" state="visible" r:id="rId7"/>
  </sheets>
  <definedNames>
    <definedName function="false" hidden="true" localSheetId="0" name="solver_acr" vbProcedure="false">0</definedName>
    <definedName function="false" hidden="true" localSheetId="0" name="solver_adj" vbProcedure="false">Модель!$B$6:$E$6</definedName>
    <definedName function="false" hidden="true" localSheetId="0" name="solver_asr" vbProcedure="false">0.5</definedName>
    <definedName function="false" hidden="true" localSheetId="0" name="solver_bbd" vbProcedure="false">1</definedName>
    <definedName function="false" hidden="true" localSheetId="0" name="solver_ccoeff" vbProcedure="false">0.729</definedName>
    <definedName function="false" hidden="true" localSheetId="0" name="solver_cog" vbProcedure="false">1.494</definedName>
    <definedName function="false" hidden="true" localSheetId="0" name="solver_crpb" vbProcedure="false">0.9</definedName>
    <definedName function="false" hidden="true" localSheetId="0" name="solver_eng" vbProcedure="false">2</definedName>
    <definedName function="false" hidden="true" localSheetId="0" name="solver_enst" vbProcedure="false">1</definedName>
    <definedName function="false" hidden="true" localSheetId="0" name="solver_eps" vbProcedure="false">0</definedName>
    <definedName function="false" hidden="true" localSheetId="0" name="solver_gvr" vbProcedure="false">1</definedName>
    <definedName function="false" hidden="true" localSheetId="0" name="solver_int" vbProcedure="false">0</definedName>
    <definedName function="false" hidden="true" localSheetId="0" name="solver_lbsz" vbProcedure="false">210</definedName>
    <definedName function="false" hidden="true" localSheetId="0" name="solver_lcy" vbProcedure="false">2000</definedName>
    <definedName function="false" hidden="true" localSheetId="0" name="solver_lhs1" vbProcedure="false">Модель!$F$10:$F$14</definedName>
    <definedName function="false" hidden="true" localSheetId="0" name="solver_lo_eng" vbProcedure="false">"com.sun.star.comp.Calc.LpsolveSolver"</definedName>
    <definedName function="false" hidden="true" localSheetId="0" name="solver_mtpb" vbProcedure="false">0</definedName>
    <definedName function="false" hidden="true" localSheetId="0" name="solver_neg" vbProcedure="false">1</definedName>
    <definedName function="false" hidden="true" localSheetId="0" name="solver_num" vbProcedure="false">1</definedName>
    <definedName function="false" hidden="true" localSheetId="0" name="solver_opt" vbProcedure="false">Модель!$F$7</definedName>
    <definedName function="false" hidden="true" localSheetId="0" name="solver_prng" vbProcedure="false">0</definedName>
    <definedName function="false" hidden="true" localSheetId="0" name="solver_rel1" vbProcedure="false">1</definedName>
    <definedName function="false" hidden="true" localSheetId="0" name="solver_rhs1" vbProcedure="false">Модель!$H$10:$H$14</definedName>
    <definedName function="false" hidden="true" localSheetId="0" name="solver_rsp" vbProcedure="false">0</definedName>
    <definedName function="false" hidden="true" localSheetId="0" name="solver_slim" vbProcedure="false">70</definedName>
    <definedName function="false" hidden="true" localSheetId="0" name="solver_smax" vbProcedure="false">0.5</definedName>
    <definedName function="false" hidden="true" localSheetId="0" name="solver_smin" vbProcedure="false">0.5</definedName>
    <definedName function="false" hidden="true" localSheetId="0" name="solver_soc" vbProcedure="false">1.494</definedName>
    <definedName function="false" hidden="true" localSheetId="0" name="solver_ssz" vbProcedure="false">70</definedName>
    <definedName function="false" hidden="true" localSheetId="0" name="solver_stol" vbProcedure="false">0.000001</definedName>
    <definedName function="false" hidden="true" localSheetId="0" name="solver_tim" vbProcedure="false">100</definedName>
    <definedName function="false" hidden="true" localSheetId="0" name="solver_typ" vbProcedure="false">1</definedName>
    <definedName function="false" hidden="true" localSheetId="0" name="solver_vrt" vbProcedure="false">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<sst xmlns="http://schemas.openxmlformats.org/spreadsheetml/2006/main" count="78" uniqueCount="63">
  <si>
    <t xml:space="preserve">Крісло</t>
  </si>
  <si>
    <t xml:space="preserve">Стілець</t>
  </si>
  <si>
    <t xml:space="preserve">Табурет</t>
  </si>
  <si>
    <t xml:space="preserve">Лава</t>
  </si>
  <si>
    <t xml:space="preserve">Змінні рішення (шт./тиждень)</t>
  </si>
  <si>
    <t xml:space="preserve">Прибуток з одиниці с</t>
  </si>
  <si>
    <t xml:space="preserve">Витрати ресурсів на одиницю виробу</t>
  </si>
  <si>
    <t xml:space="preserve">Витрачено / Z</t>
  </si>
  <si>
    <t xml:space="preserve">Знак</t>
  </si>
  <si>
    <t xml:space="preserve">Запас</t>
  </si>
  <si>
    <t xml:space="preserve">Залишок</t>
  </si>
  <si>
    <t xml:space="preserve">Дубовий брус, м</t>
  </si>
  <si>
    <t xml:space="preserve">Фанера, м²</t>
  </si>
  <si>
    <t xml:space="preserve">Фурнітура, компл.</t>
  </si>
  <si>
    <t xml:space="preserve">Верстат, год</t>
  </si>
  <si>
    <t xml:space="preserve">Лакування, год</t>
  </si>
  <si>
    <t xml:space="preserve">Кількість ненульових змінних</t>
  </si>
  <si>
    <t xml:space="preserve">Кількість зв'язних обмежень</t>
  </si>
  <si>
    <t xml:space="preserve">Sensitivity Report</t>
  </si>
  <si>
    <t xml:space="preserve">Solver Engine: com.sun.star.comp.Calc.LpsolveSolver</t>
  </si>
  <si>
    <t xml:space="preserve">Objective Cell</t>
  </si>
  <si>
    <t xml:space="preserve">Cell</t>
  </si>
  <si>
    <t xml:space="preserve">Final Value</t>
  </si>
  <si>
    <t xml:space="preserve">$F$7</t>
  </si>
  <si>
    <t xml:space="preserve">Variable Cells</t>
  </si>
  <si>
    <t xml:space="preserve">Reduced Cost</t>
  </si>
  <si>
    <t xml:space="preserve">Objective Coefficient</t>
  </si>
  <si>
    <t xml:space="preserve">Allowable Decrease</t>
  </si>
  <si>
    <t xml:space="preserve">Allowable Increase</t>
  </si>
  <si>
    <t xml:space="preserve">$B$6</t>
  </si>
  <si>
    <t xml:space="preserve">$C$6</t>
  </si>
  <si>
    <t xml:space="preserve">$D$6</t>
  </si>
  <si>
    <t xml:space="preserve">$E$6</t>
  </si>
  <si>
    <t xml:space="preserve">Constraints</t>
  </si>
  <si>
    <t xml:space="preserve">Shadow Price</t>
  </si>
  <si>
    <t xml:space="preserve">Constraint R.H. Side</t>
  </si>
  <si>
    <t xml:space="preserve">$F$10</t>
  </si>
  <si>
    <t xml:space="preserve">$F$11</t>
  </si>
  <si>
    <t xml:space="preserve">$F$12</t>
  </si>
  <si>
    <t xml:space="preserve">$F$13</t>
  </si>
  <si>
    <t xml:space="preserve">$F$14</t>
  </si>
  <si>
    <t xml:space="preserve">Ціна постачальника, за од.</t>
  </si>
  <si>
    <t xml:space="preserve">Доступний обсяг, од.</t>
  </si>
  <si>
    <t xml:space="preserve">Тіньова ціна бруса</t>
  </si>
  <si>
    <t xml:space="preserve">Допустиме збільшення запасу</t>
  </si>
  <si>
    <t xml:space="preserve">Брати чи ні?</t>
  </si>
  <si>
    <t xml:space="preserve">Скільки брати (од.)</t>
  </si>
  <si>
    <t xml:space="preserve">Приріст прибутку</t>
  </si>
  <si>
    <t xml:space="preserve">Вартість закупівлі</t>
  </si>
  <si>
    <t xml:space="preserve">Чистий виграш (за тіньовою ціною)</t>
  </si>
  <si>
    <t xml:space="preserve">Куплено, од.</t>
  </si>
  <si>
    <t xml:space="preserve">Прибуток при новому запасі (пряме розв'язання)</t>
  </si>
  <si>
    <t xml:space="preserve">Вартість</t>
  </si>
  <si>
    <t xml:space="preserve">Чистий результат</t>
  </si>
  <si>
    <t xml:space="preserve">0 (базовий)</t>
  </si>
  <si>
    <t xml:space="preserve">Варіант</t>
  </si>
  <si>
    <t xml:space="preserve">Прибуток</t>
  </si>
  <si>
    <t xml:space="preserve">Фанера (≤316)</t>
  </si>
  <si>
    <t xml:space="preserve">Допустимий?</t>
  </si>
  <si>
    <t xml:space="preserve">Без умови цілочисельності</t>
  </si>
  <si>
    <t xml:space="preserve">Округлений вниз</t>
  </si>
  <si>
    <t xml:space="preserve">Округлений до найближчого</t>
  </si>
  <si>
    <t xml:space="preserve">Цілочисельний оптимум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</si>
</sst>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1"/>
    </font>
    <font>
      <b val="true"/>
      <sz val="10"/>
      <name val="Arial"/>
      <family val="0"/>
      <charset val="204"/>
    </font>
    <font>
      <sz val="10"/>
      <name val="Arial"/>
      <family val="0"/>
      <charset val="1"/>
    </font>
    <font>
      <b val="true"/>
      <sz val="10"/>
      <name val="Arial"/>
      <family val="2"/>
      <charset val="204"/>
    </font>
    <font>
      <sz val="10"/>
      <color rgb="FF000000"/>
      <name val="Arial"/>
      <family val="2"/>
      <charset val="1"/>
    </font>
    <font>
      <i val="true"/>
      <sz val="10"/>
      <color rgb="FF59595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ABBB5"/>
        <bgColor rgb="FFC0C0C0"/>
      </patternFill>
    </fill>
    <fill>
      <patternFill patternType="solid">
        <fgColor rgb="FFF4DCE1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4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BBB5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330840</xdr:colOff>
      <xdr:row>28</xdr:row>
      <xdr:rowOff>1080</xdr:rowOff>
    </xdr:to>
    <xdr:pic>
      <xdr:nvPicPr>
        <xdr:cNvPr id="0" name="Зображення 1" descr=""/>
        <xdr:cNvPicPr/>
      </xdr:nvPicPr>
      <xdr:blipFill>
        <a:blip r:embed="rId1"/>
        <a:stretch/>
      </xdr:blipFill>
      <xdr:spPr>
        <a:xfrm>
          <a:off x="0" y="0"/>
          <a:ext cx="6020280" cy="4552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18"/>
    <col collapsed="false" customWidth="true" hidden="false" outlineLevel="0" max="6" min="6" style="2" width="13.05"/>
    <col collapsed="false" customWidth="false" hidden="false" outlineLevel="0" max="7" min="7" style="3" width="11.53"/>
  </cols>
  <sheetData>
    <row r="1" customFormat="false" ht="12.8" hidden="false" customHeight="false" outlineLevel="0" collapsed="false">
      <c r="B1" s="2"/>
      <c r="C1" s="2"/>
      <c r="D1" s="2"/>
      <c r="E1" s="2"/>
    </row>
    <row r="3" customFormat="false" ht="12.8" hidden="false" customHeight="false" outlineLevel="0" collapsed="false">
      <c r="B3" s="2"/>
      <c r="C3" s="2"/>
      <c r="D3" s="2"/>
      <c r="E3" s="2"/>
      <c r="G3" s="4"/>
    </row>
    <row r="5" s="8" customFormat="true" ht="12.8" hidden="false" customHeight="false" outlineLevel="0" collapsed="false">
      <c r="A5" s="5"/>
      <c r="B5" s="6" t="s">
        <v>0</v>
      </c>
      <c r="C5" s="6" t="s">
        <v>1</v>
      </c>
      <c r="D5" s="6" t="s">
        <v>2</v>
      </c>
      <c r="E5" s="6" t="s">
        <v>3</v>
      </c>
      <c r="F5" s="6"/>
      <c r="G5" s="7"/>
    </row>
    <row r="6" customFormat="false" ht="12.8" hidden="false" customHeight="false" outlineLevel="0" collapsed="false">
      <c r="A6" s="9" t="s">
        <v>4</v>
      </c>
      <c r="B6" s="10" t="n">
        <v>120.071428571429</v>
      </c>
      <c r="C6" s="10" t="n">
        <v>0</v>
      </c>
      <c r="D6" s="10" t="n">
        <v>0</v>
      </c>
      <c r="E6" s="10" t="n">
        <v>12.6428571428571</v>
      </c>
      <c r="G6" s="4"/>
    </row>
    <row r="7" customFormat="false" ht="12.8" hidden="false" customHeight="false" outlineLevel="0" collapsed="false">
      <c r="A7" s="9" t="s">
        <v>5</v>
      </c>
      <c r="B7" s="2" t="n">
        <v>64</v>
      </c>
      <c r="C7" s="2" t="n">
        <v>58</v>
      </c>
      <c r="D7" s="2" t="n">
        <v>34</v>
      </c>
      <c r="E7" s="2" t="n">
        <v>63</v>
      </c>
      <c r="F7" s="11" t="n">
        <f aca="false">SUMPRODUCT($B$6:$E$6,B7:E7)</f>
        <v>8481.07142857145</v>
      </c>
      <c r="G7" s="4"/>
    </row>
    <row r="8" customFormat="false" ht="12.8" hidden="false" customHeight="false" outlineLevel="0" collapsed="false">
      <c r="B8" s="2"/>
      <c r="C8" s="2"/>
      <c r="D8" s="2"/>
      <c r="E8" s="2"/>
      <c r="G8" s="4"/>
    </row>
    <row r="9" s="8" customFormat="true" ht="12.8" hidden="false" customHeight="false" outlineLevel="0" collapsed="false">
      <c r="A9" s="12" t="s">
        <v>6</v>
      </c>
      <c r="B9" s="6" t="s">
        <v>0</v>
      </c>
      <c r="C9" s="6" t="s">
        <v>1</v>
      </c>
      <c r="D9" s="6" t="s">
        <v>2</v>
      </c>
      <c r="E9" s="6" t="s">
        <v>3</v>
      </c>
      <c r="F9" s="6" t="s">
        <v>7</v>
      </c>
      <c r="G9" s="13" t="s">
        <v>8</v>
      </c>
      <c r="H9" s="6" t="s">
        <v>9</v>
      </c>
      <c r="I9" s="6" t="s">
        <v>10</v>
      </c>
    </row>
    <row r="10" customFormat="false" ht="12.8" hidden="false" customHeight="true" outlineLevel="0" collapsed="false">
      <c r="A10" s="14" t="s">
        <v>11</v>
      </c>
      <c r="B10" s="2" t="n">
        <v>5</v>
      </c>
      <c r="C10" s="2" t="n">
        <v>3</v>
      </c>
      <c r="D10" s="2" t="n">
        <v>3</v>
      </c>
      <c r="E10" s="2" t="n">
        <v>1</v>
      </c>
      <c r="F10" s="15" t="n">
        <f aca="false">SUMPRODUCT($B$6:$E$6,B10:E10)</f>
        <v>613.000000000002</v>
      </c>
      <c r="H10" s="2" t="n">
        <v>613</v>
      </c>
      <c r="I10" s="15" t="n">
        <f aca="false">H10-F10</f>
        <v>0</v>
      </c>
    </row>
    <row r="11" customFormat="false" ht="12.8" hidden="false" customHeight="true" outlineLevel="0" collapsed="false">
      <c r="A11" s="14" t="s">
        <v>12</v>
      </c>
      <c r="B11" s="2" t="n">
        <v>2</v>
      </c>
      <c r="C11" s="2" t="n">
        <v>5</v>
      </c>
      <c r="D11" s="2" t="n">
        <v>6</v>
      </c>
      <c r="E11" s="2" t="n">
        <v>6</v>
      </c>
      <c r="F11" s="15" t="n">
        <f aca="false">SUMPRODUCT($B$6:$E$6,B11:E11)</f>
        <v>316.000000000001</v>
      </c>
      <c r="H11" s="2" t="n">
        <v>316</v>
      </c>
      <c r="I11" s="15" t="n">
        <f aca="false">H11-F11</f>
        <v>0</v>
      </c>
    </row>
    <row r="12" customFormat="false" ht="12.8" hidden="false" customHeight="true" outlineLevel="0" collapsed="false">
      <c r="A12" s="14" t="s">
        <v>13</v>
      </c>
      <c r="B12" s="2" t="n">
        <v>3</v>
      </c>
      <c r="C12" s="2" t="n">
        <v>1</v>
      </c>
      <c r="D12" s="2" t="n">
        <v>0</v>
      </c>
      <c r="E12" s="2" t="n">
        <v>0</v>
      </c>
      <c r="F12" s="15" t="n">
        <f aca="false">SUMPRODUCT($B$6:$E$6,B12:E12)</f>
        <v>360.214285714287</v>
      </c>
      <c r="H12" s="2" t="n">
        <v>1035</v>
      </c>
      <c r="I12" s="15" t="n">
        <f aca="false">H12-F12</f>
        <v>674.785714285713</v>
      </c>
    </row>
    <row r="13" customFormat="false" ht="12.8" hidden="false" customHeight="true" outlineLevel="0" collapsed="false">
      <c r="A13" s="14" t="s">
        <v>14</v>
      </c>
      <c r="B13" s="2" t="n">
        <v>0</v>
      </c>
      <c r="C13" s="2" t="n">
        <v>4</v>
      </c>
      <c r="D13" s="2" t="n">
        <v>4</v>
      </c>
      <c r="E13" s="2" t="n">
        <v>6</v>
      </c>
      <c r="F13" s="15" t="n">
        <f aca="false">SUMPRODUCT($B$6:$E$6,B13:E13)</f>
        <v>75.8571428571426</v>
      </c>
      <c r="H13" s="2" t="n">
        <v>739</v>
      </c>
      <c r="I13" s="15" t="n">
        <f aca="false">H13-F13</f>
        <v>663.142857142857</v>
      </c>
    </row>
    <row r="14" customFormat="false" ht="12.8" hidden="false" customHeight="true" outlineLevel="0" collapsed="false">
      <c r="A14" s="14" t="s">
        <v>15</v>
      </c>
      <c r="B14" s="2" t="n">
        <v>2</v>
      </c>
      <c r="C14" s="2" t="n">
        <v>2</v>
      </c>
      <c r="D14" s="2" t="n">
        <v>2</v>
      </c>
      <c r="E14" s="2" t="n">
        <v>6</v>
      </c>
      <c r="F14" s="15" t="n">
        <f aca="false">SUMPRODUCT($B$6:$E$6,B14:E14)</f>
        <v>316.000000000001</v>
      </c>
      <c r="H14" s="2" t="n">
        <v>810</v>
      </c>
      <c r="I14" s="15" t="n">
        <f aca="false">H14-F14</f>
        <v>493.999999999999</v>
      </c>
    </row>
    <row r="16" customFormat="false" ht="12.8" hidden="false" customHeight="true" outlineLevel="0" collapsed="false">
      <c r="A16" s="16" t="s">
        <v>16</v>
      </c>
      <c r="B16" s="2" t="n">
        <f aca="false">COUNTIF(B6:E6,"&gt;0.000001")</f>
        <v>0</v>
      </c>
    </row>
    <row r="17" customFormat="false" ht="12.8" hidden="false" customHeight="true" outlineLevel="0" collapsed="false">
      <c r="A17" s="16" t="s">
        <v>17</v>
      </c>
      <c r="B17" s="2" t="n">
        <f aca="false">SUMPRODUCT(--(ABS(I10:I14)&lt;0.000001))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7" t="s">
        <v>18</v>
      </c>
    </row>
    <row r="2" customFormat="false" ht="12.8" hidden="false" customHeight="false" outlineLevel="0" collapsed="false">
      <c r="A2" s="2" t="s">
        <v>19</v>
      </c>
    </row>
    <row r="4" customFormat="false" ht="12.8" hidden="false" customHeight="false" outlineLevel="0" collapsed="false">
      <c r="A4" s="17" t="s">
        <v>20</v>
      </c>
    </row>
    <row r="5" customFormat="false" ht="12.8" hidden="false" customHeight="false" outlineLevel="0" collapsed="false">
      <c r="A5" s="18" t="s">
        <v>21</v>
      </c>
      <c r="B5" s="18" t="s">
        <v>22</v>
      </c>
    </row>
    <row r="6" customFormat="false" ht="12.8" hidden="false" customHeight="false" outlineLevel="0" collapsed="false">
      <c r="A6" s="19" t="s">
        <v>23</v>
      </c>
      <c r="B6" s="19" t="n">
        <v>8481.07142857143</v>
      </c>
    </row>
    <row r="8" customFormat="false" ht="12.8" hidden="false" customHeight="false" outlineLevel="0" collapsed="false">
      <c r="A8" s="17" t="s">
        <v>24</v>
      </c>
    </row>
    <row r="9" customFormat="false" ht="24.05" hidden="false" customHeight="false" outlineLevel="0" collapsed="false">
      <c r="A9" s="18" t="s">
        <v>21</v>
      </c>
      <c r="B9" s="18" t="s">
        <v>22</v>
      </c>
      <c r="C9" s="18" t="s">
        <v>25</v>
      </c>
      <c r="D9" s="18" t="s">
        <v>26</v>
      </c>
      <c r="E9" s="18" t="s">
        <v>27</v>
      </c>
      <c r="F9" s="18" t="s">
        <v>28</v>
      </c>
    </row>
    <row r="10" customFormat="false" ht="12.8" hidden="false" customHeight="false" outlineLevel="0" collapsed="false">
      <c r="A10" s="2" t="s">
        <v>29</v>
      </c>
      <c r="B10" s="2" t="n">
        <v>120.071428571429</v>
      </c>
      <c r="C10" s="2" t="n">
        <v>0</v>
      </c>
      <c r="D10" s="2" t="n">
        <v>64</v>
      </c>
      <c r="E10" s="2" t="n">
        <v>31.1538461538461</v>
      </c>
      <c r="F10" s="2" t="n">
        <v>251</v>
      </c>
    </row>
    <row r="11" customFormat="false" ht="12.8" hidden="false" customHeight="false" outlineLevel="0" collapsed="false">
      <c r="A11" s="2" t="s">
        <v>30</v>
      </c>
      <c r="B11" s="2" t="n">
        <v>0</v>
      </c>
      <c r="C11" s="2" t="n">
        <v>-14.4642857142857</v>
      </c>
      <c r="D11" s="2" t="n">
        <v>58</v>
      </c>
      <c r="E11" s="2" t="n">
        <v>1E+030</v>
      </c>
      <c r="F11" s="2" t="n">
        <v>14.4642857142857</v>
      </c>
    </row>
    <row r="12" customFormat="false" ht="12.8" hidden="false" customHeight="false" outlineLevel="0" collapsed="false">
      <c r="A12" s="2" t="s">
        <v>31</v>
      </c>
      <c r="B12" s="2" t="n">
        <v>0</v>
      </c>
      <c r="C12" s="2" t="n">
        <v>-47.4285714285714</v>
      </c>
      <c r="D12" s="2" t="n">
        <v>34</v>
      </c>
      <c r="E12" s="2" t="n">
        <v>1E+030</v>
      </c>
      <c r="F12" s="2" t="n">
        <v>47.4285714285714</v>
      </c>
    </row>
    <row r="13" customFormat="false" ht="12.8" hidden="false" customHeight="false" outlineLevel="0" collapsed="false">
      <c r="A13" s="19" t="s">
        <v>32</v>
      </c>
      <c r="B13" s="19" t="n">
        <v>12.6428571428571</v>
      </c>
      <c r="C13" s="19" t="n">
        <v>0</v>
      </c>
      <c r="D13" s="19" t="n">
        <v>63</v>
      </c>
      <c r="E13" s="19" t="n">
        <v>21.3157894736842</v>
      </c>
      <c r="F13" s="19" t="n">
        <v>129</v>
      </c>
    </row>
    <row r="15" customFormat="false" ht="12.8" hidden="false" customHeight="false" outlineLevel="0" collapsed="false">
      <c r="A15" s="17" t="s">
        <v>33</v>
      </c>
    </row>
    <row r="16" customFormat="false" ht="24.05" hidden="false" customHeight="false" outlineLevel="0" collapsed="false">
      <c r="A16" s="18" t="s">
        <v>21</v>
      </c>
      <c r="B16" s="18" t="s">
        <v>22</v>
      </c>
      <c r="C16" s="18" t="s">
        <v>34</v>
      </c>
      <c r="D16" s="18" t="s">
        <v>35</v>
      </c>
      <c r="E16" s="18" t="s">
        <v>27</v>
      </c>
      <c r="F16" s="18" t="s">
        <v>28</v>
      </c>
    </row>
    <row r="17" customFormat="false" ht="12.8" hidden="false" customHeight="false" outlineLevel="0" collapsed="false">
      <c r="A17" s="2" t="s">
        <v>36</v>
      </c>
      <c r="B17" s="2" t="n">
        <v>613</v>
      </c>
      <c r="C17" s="2" t="n">
        <v>9.21428571428572</v>
      </c>
      <c r="D17" s="2" t="n">
        <v>613</v>
      </c>
      <c r="E17" s="2" t="n">
        <v>560.333333333333</v>
      </c>
      <c r="F17" s="2" t="n">
        <v>177</v>
      </c>
    </row>
    <row r="18" customFormat="false" ht="12.8" hidden="false" customHeight="false" outlineLevel="0" collapsed="false">
      <c r="A18" s="2" t="s">
        <v>37</v>
      </c>
      <c r="B18" s="2" t="n">
        <v>316</v>
      </c>
      <c r="C18" s="2" t="n">
        <v>8.96428571428571</v>
      </c>
      <c r="D18" s="2" t="n">
        <v>316</v>
      </c>
      <c r="E18" s="2" t="n">
        <v>70.8000000000001</v>
      </c>
      <c r="F18" s="2" t="n">
        <v>494</v>
      </c>
    </row>
    <row r="19" customFormat="false" ht="12.8" hidden="false" customHeight="false" outlineLevel="0" collapsed="false">
      <c r="A19" s="2" t="s">
        <v>38</v>
      </c>
      <c r="B19" s="2" t="n">
        <v>360.214285714286</v>
      </c>
      <c r="C19" s="2" t="n">
        <v>0</v>
      </c>
      <c r="D19" s="2" t="n">
        <v>1035</v>
      </c>
      <c r="E19" s="2" t="n">
        <v>674.785714285714</v>
      </c>
      <c r="F19" s="2" t="n">
        <v>1E+030</v>
      </c>
    </row>
    <row r="20" customFormat="false" ht="12.8" hidden="false" customHeight="false" outlineLevel="0" collapsed="false">
      <c r="A20" s="2" t="s">
        <v>39</v>
      </c>
      <c r="B20" s="2" t="n">
        <v>75.8571428571429</v>
      </c>
      <c r="C20" s="2" t="n">
        <v>0</v>
      </c>
      <c r="D20" s="2" t="n">
        <v>739</v>
      </c>
      <c r="E20" s="2" t="n">
        <v>663.142857142857</v>
      </c>
      <c r="F20" s="2" t="n">
        <v>1E+030</v>
      </c>
    </row>
    <row r="21" customFormat="false" ht="12.8" hidden="false" customHeight="false" outlineLevel="0" collapsed="false">
      <c r="A21" s="19" t="s">
        <v>40</v>
      </c>
      <c r="B21" s="19" t="n">
        <v>316</v>
      </c>
      <c r="C21" s="19" t="n">
        <v>0</v>
      </c>
      <c r="D21" s="19" t="n">
        <v>810</v>
      </c>
      <c r="E21" s="19" t="n">
        <v>494</v>
      </c>
      <c r="F21" s="19" t="n">
        <v>1E+030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0" width="33.54"/>
    <col collapsed="false" customWidth="true" hidden="false" outlineLevel="0" max="2" min="2" style="20" width="23.53"/>
    <col collapsed="false" customWidth="false" hidden="false" outlineLevel="0" max="16384" min="3" style="20" width="11.53"/>
  </cols>
  <sheetData>
    <row r="3" s="3" customFormat="true" ht="12.8" hidden="false" customHeight="false" outlineLevel="0" collapsed="false">
      <c r="A3" s="21" t="s">
        <v>41</v>
      </c>
      <c r="B3" s="22" t="n">
        <v>5.4</v>
      </c>
    </row>
    <row r="4" s="3" customFormat="true" ht="12.8" hidden="false" customHeight="false" outlineLevel="0" collapsed="false">
      <c r="A4" s="21" t="s">
        <v>42</v>
      </c>
      <c r="B4" s="23" t="n">
        <v>354</v>
      </c>
    </row>
    <row r="5" s="3" customFormat="true" ht="12.8" hidden="false" customHeight="false" outlineLevel="0" collapsed="false">
      <c r="A5" s="21" t="s">
        <v>43</v>
      </c>
      <c r="B5" s="24" t="n">
        <f aca="false">Аркуш1_Sensitivity!C17</f>
        <v>9.21428571428572</v>
      </c>
    </row>
    <row r="6" s="3" customFormat="true" ht="12.8" hidden="false" customHeight="false" outlineLevel="0" collapsed="false">
      <c r="A6" s="21" t="s">
        <v>44</v>
      </c>
      <c r="B6" s="24" t="n">
        <f aca="false">Аркуш1_Sensitivity!F17</f>
        <v>177</v>
      </c>
    </row>
    <row r="7" s="3" customFormat="true" ht="12.8" hidden="false" customHeight="false" outlineLevel="0" collapsed="false">
      <c r="A7" s="21" t="s">
        <v>45</v>
      </c>
      <c r="B7" s="25" t="str">
        <f aca="false">IF(B3&lt;B5,"брати","не брати")</f>
        <v>брати</v>
      </c>
    </row>
    <row r="8" s="3" customFormat="true" ht="12.8" hidden="false" customHeight="false" outlineLevel="0" collapsed="false">
      <c r="A8" s="21" t="s">
        <v>46</v>
      </c>
      <c r="B8" s="26" t="n">
        <f aca="false">IF(B3&lt;B5,MIN(B4,B6),0)</f>
        <v>177</v>
      </c>
    </row>
    <row r="9" s="3" customFormat="true" ht="12.8" hidden="false" customHeight="false" outlineLevel="0" collapsed="false">
      <c r="A9" s="21" t="s">
        <v>47</v>
      </c>
      <c r="B9" s="27" t="n">
        <f aca="false">B5*B8</f>
        <v>1630.92857142857</v>
      </c>
    </row>
    <row r="10" s="3" customFormat="true" ht="12.8" hidden="false" customHeight="false" outlineLevel="0" collapsed="false">
      <c r="A10" s="21" t="s">
        <v>48</v>
      </c>
      <c r="B10" s="27" t="n">
        <f aca="false">B3*B8</f>
        <v>955.8</v>
      </c>
    </row>
    <row r="11" s="3" customFormat="true" ht="12.8" hidden="false" customHeight="false" outlineLevel="0" collapsed="false">
      <c r="A11" s="21" t="s">
        <v>49</v>
      </c>
      <c r="B11" s="28" t="n">
        <f aca="false">B9-B10</f>
        <v>675.128571428572</v>
      </c>
    </row>
    <row r="12" s="3" customFormat="true" ht="12.8" hidden="false" customHeight="false" outlineLevel="0" collapsed="false">
      <c r="A12" s="29"/>
    </row>
    <row r="13" s="3" customFormat="true" ht="24.05" hidden="false" customHeight="false" outlineLevel="0" collapsed="false">
      <c r="A13" s="30" t="s">
        <v>50</v>
      </c>
      <c r="B13" s="30" t="s">
        <v>51</v>
      </c>
      <c r="C13" s="30" t="s">
        <v>47</v>
      </c>
      <c r="D13" s="30" t="s">
        <v>52</v>
      </c>
      <c r="E13" s="30" t="s">
        <v>53</v>
      </c>
    </row>
    <row r="14" s="3" customFormat="true" ht="12.8" hidden="false" customHeight="false" outlineLevel="0" collapsed="false">
      <c r="A14" s="31" t="s">
        <v>54</v>
      </c>
      <c r="B14" s="24" t="n">
        <v>8481.0714</v>
      </c>
    </row>
    <row r="15" s="3" customFormat="true" ht="12.8" hidden="false" customHeight="false" outlineLevel="0" collapsed="false">
      <c r="A15" s="23" t="n">
        <v>1</v>
      </c>
      <c r="B15" s="24" t="n">
        <v>8490.2857</v>
      </c>
      <c r="C15" s="27" t="n">
        <f aca="false">B15-$B$14</f>
        <v>9.21429999999964</v>
      </c>
      <c r="D15" s="27" t="n">
        <f aca="false">$B$3*A15</f>
        <v>5.4</v>
      </c>
      <c r="E15" s="27" t="n">
        <f aca="false">C15-D15</f>
        <v>3.81429999999964</v>
      </c>
    </row>
    <row r="16" s="3" customFormat="true" ht="12.8" hidden="false" customHeight="false" outlineLevel="0" collapsed="false">
      <c r="A16" s="23" t="n">
        <v>100</v>
      </c>
      <c r="B16" s="24" t="n">
        <v>9402.5</v>
      </c>
      <c r="C16" s="27" t="n">
        <f aca="false">B16-$B$14</f>
        <v>921.428599999999</v>
      </c>
      <c r="D16" s="27" t="n">
        <f aca="false">$B$3*A16</f>
        <v>540</v>
      </c>
      <c r="E16" s="27" t="n">
        <f aca="false">C16-D16</f>
        <v>381.428599999999</v>
      </c>
    </row>
    <row r="17" s="3" customFormat="true" ht="12.8" hidden="false" customHeight="false" outlineLevel="0" collapsed="false">
      <c r="A17" s="23" t="n">
        <v>177</v>
      </c>
      <c r="B17" s="24" t="n">
        <v>10112</v>
      </c>
      <c r="C17" s="27" t="n">
        <f aca="false">B17-$B$14</f>
        <v>1630.9286</v>
      </c>
      <c r="D17" s="27" t="n">
        <f aca="false">$B$3*A17</f>
        <v>955.8</v>
      </c>
      <c r="E17" s="27" t="n">
        <f aca="false">C17-D17</f>
        <v>675.128599999999</v>
      </c>
    </row>
    <row r="18" s="3" customFormat="true" ht="12.8" hidden="false" customHeight="false" outlineLevel="0" collapsed="false">
      <c r="A18" s="23" t="n">
        <v>354</v>
      </c>
      <c r="B18" s="24" t="n">
        <v>10112</v>
      </c>
      <c r="C18" s="27" t="n">
        <f aca="false">B18-$B$14</f>
        <v>1630.9286</v>
      </c>
      <c r="D18" s="27" t="n">
        <f aca="false">$B$3*A18</f>
        <v>1911.6</v>
      </c>
      <c r="E18" s="27" t="n">
        <f aca="false">C18-D18</f>
        <v>-280.671400000001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11" activeCellId="0" sqref="H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32.52"/>
    <col collapsed="false" customWidth="true" hidden="false" outlineLevel="0" max="7" min="7" style="0" width="9.47"/>
  </cols>
  <sheetData>
    <row r="1" s="3" customFormat="true" ht="12.8" hidden="false" customHeight="false" outlineLevel="0" collapsed="false"/>
    <row r="2" s="3" customFormat="true" ht="12.8" hidden="false" customHeight="false" outlineLevel="0" collapsed="false"/>
    <row r="3" s="3" customFormat="true" ht="24.05" hidden="false" customHeight="false" outlineLevel="0" collapsed="false">
      <c r="A3" s="30" t="s">
        <v>55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56</v>
      </c>
      <c r="G3" s="30" t="s">
        <v>57</v>
      </c>
      <c r="H3" s="30" t="s">
        <v>58</v>
      </c>
    </row>
    <row r="4" s="3" customFormat="true" ht="12.8" hidden="false" customHeight="false" outlineLevel="0" collapsed="false">
      <c r="A4" s="31" t="s">
        <v>59</v>
      </c>
      <c r="B4" s="24" t="n">
        <v>120.071428571429</v>
      </c>
      <c r="C4" s="24" t="n">
        <v>0</v>
      </c>
      <c r="D4" s="24" t="n">
        <v>0</v>
      </c>
      <c r="E4" s="24" t="n">
        <v>12.6428571428571</v>
      </c>
      <c r="F4" s="27" t="n">
        <f aca="false">SUMPRODUCT(B4:E4,Модель!$B$7:$E$7)</f>
        <v>8481.07142857145</v>
      </c>
      <c r="G4" s="27" t="n">
        <f aca="false">SUMPRODUCT(B4:E4,Модель!$B$11:$E$11)</f>
        <v>316.000000000001</v>
      </c>
      <c r="H4" s="31" t="str">
        <f aca="false">IF(AND(SUMPRODUCT(B4:E4,Модель!$B$10:$E$10)&lt;=Модель!$H$10+0.000001,G4&lt;=Модель!$H$11+0.000001,SUMPRODUCT(B4:E4,Модель!$B$12:$E$12)&lt;=Модель!$H$12+0.000001,SUMPRODUCT(B4:E4,Модель!$B$13:$E$13)&lt;=Модель!$H$13+0.000001,SUMPRODUCT(B4:E4,Модель!$B$14:$E$14)&lt;=Модель!$H$14+0.000001),"так","НІ")</f>
        <v>так</v>
      </c>
    </row>
    <row r="5" s="3" customFormat="true" ht="12.8" hidden="false" customHeight="false" outlineLevel="0" collapsed="false">
      <c r="A5" s="31" t="s">
        <v>60</v>
      </c>
      <c r="B5" s="23" t="n">
        <v>120</v>
      </c>
      <c r="C5" s="23" t="n">
        <v>0</v>
      </c>
      <c r="D5" s="23" t="n">
        <v>0</v>
      </c>
      <c r="E5" s="23" t="n">
        <v>12</v>
      </c>
      <c r="F5" s="27" t="n">
        <f aca="false">SUMPRODUCT(B5:E5,Модель!$B$7:$E$7)</f>
        <v>8436</v>
      </c>
      <c r="G5" s="27" t="n">
        <f aca="false">SUMPRODUCT(B5:E5,Модель!$B$11:$E$11)</f>
        <v>312</v>
      </c>
      <c r="H5" s="31" t="str">
        <f aca="false">IF(AND(SUMPRODUCT(B5:E5,Модель!$B$10:$E$10)&lt;=Модель!$H$10+0.000001,G5&lt;=Модель!$H$11+0.000001,SUMPRODUCT(B5:E5,Модель!$B$12:$E$12)&lt;=Модель!$H$12+0.000001,SUMPRODUCT(B5:E5,Модель!$B$13:$E$13)&lt;=Модель!$H$13+0.000001,SUMPRODUCT(B5:E5,Модель!$B$14:$E$14)&lt;=Модель!$H$14+0.000001),"так","НІ")</f>
        <v>так</v>
      </c>
    </row>
    <row r="6" s="3" customFormat="true" ht="12.8" hidden="false" customHeight="false" outlineLevel="0" collapsed="false">
      <c r="A6" s="31" t="s">
        <v>61</v>
      </c>
      <c r="B6" s="23" t="n">
        <v>120</v>
      </c>
      <c r="C6" s="23" t="n">
        <v>0</v>
      </c>
      <c r="D6" s="23" t="n">
        <v>0</v>
      </c>
      <c r="E6" s="23" t="n">
        <v>13</v>
      </c>
      <c r="F6" s="27" t="n">
        <f aca="false">SUMPRODUCT(B6:E6,Модель!$B$7:$E$7)</f>
        <v>8499</v>
      </c>
      <c r="G6" s="27" t="n">
        <f aca="false">SUMPRODUCT(B6:E6,Модель!$B$11:$E$11)</f>
        <v>318</v>
      </c>
      <c r="H6" s="31" t="str">
        <f aca="false">IF(AND(SUMPRODUCT(B6:E6,Модель!$B$10:$E$10)&lt;=Модель!$H$10+0.000001,G6&lt;=Модель!$H$11+0.000001,SUMPRODUCT(B6:E6,Модель!$B$12:$E$12)&lt;=Модель!$H$12+0.000001,SUMPRODUCT(B6:E6,Модель!$B$13:$E$13)&lt;=Модель!$H$13+0.000001,SUMPRODUCT(B6:E6,Модель!$B$14:$E$14)&lt;=Модель!$H$14+0.000001),"так","НІ")</f>
        <v>НІ</v>
      </c>
    </row>
    <row r="7" s="3" customFormat="true" ht="12.8" hidden="false" customHeight="false" outlineLevel="0" collapsed="false">
      <c r="A7" s="31" t="s">
        <v>62</v>
      </c>
      <c r="B7" s="23" t="n">
        <v>120</v>
      </c>
      <c r="C7" s="23" t="n">
        <v>0</v>
      </c>
      <c r="D7" s="23" t="n">
        <v>0</v>
      </c>
      <c r="E7" s="23" t="n">
        <v>12</v>
      </c>
      <c r="F7" s="27" t="n">
        <f aca="false">SUMPRODUCT(B7:E7,Модель!$B$7:$E$7)</f>
        <v>8436</v>
      </c>
      <c r="G7" s="27" t="n">
        <f aca="false">SUMPRODUCT(B7:E7,Модель!$B$11:$E$11)</f>
        <v>312</v>
      </c>
      <c r="H7" s="31" t="str">
        <f aca="false">IF(AND(SUMPRODUCT(B7:E7,Модель!$B$10:$E$10)&lt;=Модель!$H$10+0.000001,G7&lt;=Модель!$H$11+0.000001,SUMPRODUCT(B7:E7,Модель!$B$12:$E$12)&lt;=Модель!$H$12+0.000001,SUMPRODUCT(B7:E7,Модель!$B$13:$E$13)&lt;=Модель!$H$13+0.000001,SUMPRODUCT(B7:E7,Модель!$B$14:$E$14)&lt;=Модель!$H$14+0.000001),"так","НІ")</f>
        <v>так</v>
      </c>
    </row>
    <row r="8" s="3" customFormat="true" ht="12.8" hidden="false" customHeight="false" outlineLevel="0" collapsed="false"/>
    <row r="9" s="3" customFormat="true" ht="12.8" hidden="false" customHeight="false" outlineLevel="0" collapsed="false">
      <c r="A9" s="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2026-09-27T21:29:18Z</dcterms:created>
  <dc:creator/>
  <dc:description/>
  <dc:language>uk-UA</dc:language>
  <cp:lastModifiedBy/>
  <dcterms:modified xsi:type="dcterms:W3CDTF">2026-10-05T13:13:00Z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